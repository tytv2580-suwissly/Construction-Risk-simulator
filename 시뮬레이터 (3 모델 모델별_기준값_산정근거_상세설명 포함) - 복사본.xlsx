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my_simulator\"/>
    </mc:Choice>
  </mc:AlternateContent>
  <bookViews>
    <workbookView xWindow="0" yWindow="0" windowWidth="25560" windowHeight="12240"/>
  </bookViews>
  <sheets>
    <sheet name="simulator" sheetId="4" r:id="rId1"/>
    <sheet name="기준값 및 근거" sheetId="1" r:id="rId2"/>
    <sheet name="보강안 및 근거" sheetId="3" r:id="rId3"/>
  </sheets>
  <calcPr calcId="152511"/>
</workbook>
</file>

<file path=xl/calcChain.xml><?xml version="1.0" encoding="utf-8"?>
<calcChain xmlns="http://schemas.openxmlformats.org/spreadsheetml/2006/main">
  <c r="E16" i="4" l="1"/>
  <c r="G16" i="4" s="1"/>
  <c r="E15" i="4"/>
  <c r="F15" i="4" s="1"/>
  <c r="E14" i="4"/>
  <c r="G14" i="4" s="1"/>
  <c r="E13" i="4"/>
  <c r="G13" i="4" s="1"/>
  <c r="E12" i="4"/>
  <c r="G12" i="4" s="1"/>
  <c r="E9" i="4"/>
  <c r="G9" i="4" s="1"/>
  <c r="E8" i="4"/>
  <c r="G8" i="4" s="1"/>
  <c r="E7" i="4"/>
  <c r="G7" i="4" s="1"/>
  <c r="E6" i="4"/>
  <c r="G6" i="4" s="1"/>
  <c r="E5" i="4"/>
  <c r="G5" i="4" s="1"/>
  <c r="E4" i="4"/>
  <c r="G4" i="4" s="1"/>
  <c r="E3" i="4"/>
  <c r="G3" i="4" s="1"/>
  <c r="E2" i="4"/>
  <c r="G2" i="4" s="1"/>
  <c r="F8" i="4" l="1"/>
  <c r="F7" i="4"/>
  <c r="F4" i="4"/>
  <c r="F3" i="4"/>
  <c r="F13" i="4"/>
  <c r="G15" i="4"/>
  <c r="F14" i="4"/>
  <c r="F5" i="4"/>
  <c r="F9" i="4"/>
  <c r="F2" i="4"/>
  <c r="F6" i="4"/>
  <c r="F12" i="4"/>
  <c r="F16" i="4"/>
</calcChain>
</file>

<file path=xl/sharedStrings.xml><?xml version="1.0" encoding="utf-8"?>
<sst xmlns="http://schemas.openxmlformats.org/spreadsheetml/2006/main" count="315" uniqueCount="135">
  <si>
    <t>모델 구분</t>
  </si>
  <si>
    <t>항목</t>
  </si>
  <si>
    <t>기준값</t>
  </si>
  <si>
    <t>산정 근거</t>
  </si>
  <si>
    <t>상세 설명</t>
  </si>
  <si>
    <t>모델 1 (동남아 저층 RC주택)</t>
  </si>
  <si>
    <t>모델 2 (중동 철골-RC 복합구조)</t>
  </si>
  <si>
    <t>모델 3 (국내 중층 RC+지하)</t>
  </si>
  <si>
    <t>층간변위비 (%)</t>
  </si>
  <si>
    <t>Pu/Pn</t>
  </si>
  <si>
    <t>최대 응력도 (%)</t>
  </si>
  <si>
    <t>부력 안전율</t>
  </si>
  <si>
    <t>침하량 (mm)</t>
  </si>
  <si>
    <t>N/A</t>
  </si>
  <si>
    <t>Eurocode (H/250) + 경량구조 특성 반영</t>
  </si>
  <si>
    <t>KDS 0411 일반 RC 내력기준</t>
  </si>
  <si>
    <t>재료 항복기준 (SD400)</t>
  </si>
  <si>
    <t>FEMA P-55 + 얕은 기초 취약성 고려</t>
  </si>
  <si>
    <t>지표 침하 허용 기준</t>
  </si>
  <si>
    <t>Eurocode (H/200) - 연성 프레임 반영</t>
  </si>
  <si>
    <t>AISC LRFD 기반 보수 설계</t>
  </si>
  <si>
    <t>고온 환경 고려, 설계강도 감산</t>
  </si>
  <si>
    <t>지하 공간 없음</t>
  </si>
  <si>
    <t>지반 건조지역, 침하 영향 미미</t>
  </si>
  <si>
    <t>KDS 0411 + 도시밀집지 기준 강화</t>
  </si>
  <si>
    <t>KDS 동일 적용</t>
  </si>
  <si>
    <t>재료 항복 기준</t>
  </si>
  <si>
    <t>FEMA P-55, 국내 하부 구조 기준</t>
  </si>
  <si>
    <t>국내 지반 기준, 지하층 포함 RC 한계 강화</t>
  </si>
  <si>
    <t>층고 3000mm 기준 시 허용변위 12mm = 0.4%, 비구조재 손상 억제 목적</t>
  </si>
  <si>
    <t>설계하중 Pu ≤ 설계내력 Pn 유지 필요</t>
  </si>
  <si>
    <t>강도 초과 시 항복 → 보강 필요</t>
  </si>
  <si>
    <t>부력 ≤ 1/1.2 × 자중 (20% 여유)</t>
  </si>
  <si>
    <t>일반 사용성 한계로 50mm 설정</t>
  </si>
  <si>
    <t>층고 3000mm 기준 허용변위 15mm = 0.5%</t>
  </si>
  <si>
    <t>보수적 내력계수 적용 → 5% 여유 유지</t>
  </si>
  <si>
    <t>50℃ 이상 고온 영향 고려해 10% 여유 설정</t>
  </si>
  <si>
    <t>지상 건물로 해당 없음</t>
  </si>
  <si>
    <t>침하 가능성 낮음</t>
  </si>
  <si>
    <t>0.35%는 H/286 수준, 도심지 마감 피해 최소화 목적</t>
  </si>
  <si>
    <t>동일 RC 설계 기준 반영</t>
  </si>
  <si>
    <t>항복 응력 초과 금지</t>
  </si>
  <si>
    <t>부상방지 여유율 20% 요구</t>
  </si>
  <si>
    <t>기준 50mm에서 지하 포함 RC 건물은 10mm 강화</t>
  </si>
  <si>
    <t>미달 범위</t>
  </si>
  <si>
    <t>보강안 제안</t>
  </si>
  <si>
    <t>산정 근거나 기술적 이유</t>
  </si>
  <si>
    <t>≤10%</t>
  </si>
  <si>
    <t>골조 접합부 보강이나 국부 가새 추가 등을 통해 횡강성을 약간 증가시켜 변위를 허용치 이내로 감소시킴.</t>
  </si>
  <si>
    <t>강성 증대를 통해 구조물의 횡변위를 저감 가능. 기준치 초과가 경미한 경우 소규모 보강만으로도 0.4% 이내의 변위 제어가 가능함 (Eurocode 등에서 일반 건물 변위비 한계 0.4% 권고).</t>
  </si>
  <si>
    <t>10~30%</t>
  </si>
  <si>
    <t>주요 방향 골조에 철근콘크리트 전단벽을 신설하거나 강재 브레이싱을 도입하여 횡강성을 대폭 강화함 (20~30%↑ 수준).</t>
  </si>
  <si>
    <t>전단벽 추가는 구조 횡강도를 크게 높여 지진 시 변위를 줄여줌. 기준 변위비 0.4% (H/250 수준)를 만족하기 위해 이러한 보강이 필요하며, 국내·국제 내진기준에서도 권장됨.</t>
  </si>
  <si>
    <t>&gt;30%</t>
  </si>
  <si>
    <t>복수의 전단벽 신설 등 구조 시스템 전환 수준의 보강 실시. 필요시 외부에 강재 가새 프레임을 추가하여 횡력저항 경로를 전면적으로 보강함.</t>
  </si>
  <si>
    <t>기준 대비 30% 초과 변위는 현저한 내진 성능 부족을 의미하여, FEMA 등 지침에서도 전면적 보강을 권고. 전단벽·가새 추가로 횡강도/강도를 획기적으로 향상시켜야 함.</t>
  </si>
  <si>
    <t>RC 기둥의 FRP 랩핑 보강 등을 통해 축력저항을 소폭 증강 (약 5~10%). 국부적으로 기둥에 강판 플레이트나 증설 철근을 추가 배치하여 부족 내력을 보충.</t>
  </si>
  <si>
    <t>FRP로 기둥을 둘러싸면 콘크리트 구속 효과로 축강도가 향상되어 부족분을 메울 수 있음. KDS/ACI 설계 기준상 φPn ≥ Pu (Pu/Pn ≤ 1.0) 만족이 필요하며, 경미한 초과는 소규모 보강으로 해결 가능.</t>
  </si>
  <si>
    <t>기둥 단면 확대 보강: 기존 기둥에 철근콘크리트를 둘러타설하여 단면적을 20~30% 늘리거나, 강판 재킷을 감싸 축내력을 증강시킴. 필요에 따라 부족한 라인에 기둥을 신설하여 하중 재분담.</t>
  </si>
  <si>
    <t>강판 재킷 등은 RC 기둥의 좌굴과 압축강도를 크게 향상시켜 내력 부족분을 보완함. Pu/Pn 20% 이상의 초과는 설계 안전율을 침해하므로 적극적인 단면 보강 및 부재 추가로 기준(≤1.0) 만족이 필요.</t>
  </si>
  <si>
    <t>심각한 축력 부족으로, 새로운 기둥/벽체를 추가 설치해 하중을 재배치하고 기존 주요 기둥은 강골로 둘러싸는 등 전면 보강을 실시 (재설계 수준 개선).</t>
  </si>
  <si>
    <t>기준 대비 30% 이상 부족하면 단순 보강으로 한계가 있으며, 구조 시스템 자체의 보강이 필요. 새로운 부재 도입과 기둥의 전면적인 강재 보강을 통해서만 코드 요구 안전율을 만족시킬 수 있음.</t>
  </si>
  <si>
    <t>부재 허용응력을 약간 넘는 경우, RC 부재는 탄소섬유 시트 부착 등으로 강도를 보강하고 강재 부재는 국부 보강판을 덧대어 응력을 10% 이내 감소시킴.</t>
  </si>
  <si>
    <t>소규모 보강으로도 부재 응력을 허용치 이내로 낮출 수 있어 균열∙변형을 방지함. 구조 설계상 재료 항복(100%)을 넘지 않아야 안전과 내구성이 확보되므로, 경미 초과 시 신속한 보강이 권장됨.</t>
  </si>
  <si>
    <t>기존 부재 단면에 강판 또는 강봉 등을 체결하여 단면 성능을 20~30% 향상시킴 (예: 강재보 플랜지에 보강판 용접, RC보 인장부에 강봉 외부 설치 등). 또는 과부하 부재를 경감시키기 위해 보조 보를 추가 설치하여 하중 분담.</t>
  </si>
  <si>
    <t>부재 강도를 크게 높이는 보강을 통해서만 응력 초과분을 해소 가능함. 허용응력 20% 이상 초과 상태를 방치하면 피로 및 균열 문제가 발생하므로, 설계기준은 부재 사용률 100% 이내를 요구하고 보강을 통해 이를 만족시켜야 함.</t>
  </si>
  <si>
    <t>부재 교체 또는 동등 부재 추가 등 근본적 대책 시행. 과다 응력을 받은 부재를 고강도·대단면 부재로 교체하거나 동일 위치에 2련 보 등으로 재시공. 예를 들어 장스팬 보에는 중간에 추가 기둥을 세워 경간을 단축하고, 기존 보를 강성 큰 새 보로 교체하여 전체 응력을 감소시킴.</t>
  </si>
  <si>
    <t>허용치 대비 30% 초과 응력은 현 구조로는 지속 사용이 어려운 수준으로, 부재 수준의 대수선이 필요함. FEMA 등에서도 이러한 경우 부재 교체나 추가 지지부 도입을 권고하며, 이를 통해 구조 부재의 응력을 허용 범위로 낮춰야 함 (파단 예방 목적).</t>
  </si>
  <si>
    <t>기초 슬래브 두께 증대 또는 콘크리트 추가 적재 등을 통해 구조 자체 중량을 약간 증가시켜 부력에 대한 안전율을 1.2 이상으로 끌어올림.</t>
  </si>
  <si>
    <t>자중이 증가하면 부상력에 대한 안정성이 비례 향상됨. 국내 기준(KDS)에서도 부력 안전율 1.2 이상 확보를 요구하며, 약 10% 중량 증대로 부족분을 만회할 수 있음.</t>
  </si>
  <si>
    <t>기초판에 타이다운(tie-down) 앵커를 설치하여 부족한 부력 저항을 확보하고, 기초 슬래브를 확장하거나 추가 콘크리트 타설로 자중을 보강 (병행 실시).</t>
  </si>
  <si>
    <t>앵커는 구조물을 지반에 고정하여 부상력을 직접 저항하므로 안전율을 크게 높일 수 있음. 또한 지하 구조 주변에 차수벽 설치 및 배수를 통해 지하수 유입을 억제하면 부력 자체를 줄이는 효과도 있어 부력 저감에 기여함.</t>
  </si>
  <si>
    <t>대구경 프리스트레스 앵커 등 고용량 부력앵커를 다수 시공하여 구조물을 지반에 완전히 묶어 둠으로써 부상 방지. 아울러, 기초 면적을 건물 외곽까지 확대하여 주변 포화토의 추가 자중이 부력 저항에 기여하도록 기초 구조를 변경.</t>
  </si>
  <si>
    <t>안전율이 30% 이상 모자란 경우 미보강 시 홍수 시 건물이 뜰 위험이 매우 높으므로, 강력한 앵커로 부력을 완전 상쇄해야 함. 기초를 확장하면 주변 토사의 중량이 추가로 부력에 저항하여 안정도 증가에 도움이 됨. 설계기준상 부력 안전율 1.2 이상 확보는 필수적임.</t>
  </si>
  <si>
    <t>기초 지반에 대한 소규모 개량 실시: 얕은 기초 하부에 그라우트 주입 등을 통해 지반 강성을 보강하고, 기초 주변 지반을 다져 추가 침하 발생을 억제함.</t>
  </si>
  <si>
    <t>심도 기초로의 전환: 현재 기초를 대체하거나 보강하여 말뚝기초 시스템으로 변경함. 충분한 길이의 말뚝을 설치해 건물 하중을 직접 깊은 지지층에 전달하고 침하를 근본적으로 억제. 아울러, 홍수 시 세굴 위험이 있는 경우 기초 주변에 세굴 방지 매트를 깔아 토사 유실로 인한 추가 침하를 방지.</t>
  </si>
  <si>
    <t>50 mm 초과 침하는 구조물에 심각한 영향을 줄 수 있어 말뚝기초로의 근본적 개선이 필요함. 또한 세굴 방지 대책을 통해 홍수로 인한 지반 유실을 막아 추가 침하를 예방해야 함.</t>
  </si>
  <si>
    <t>철골 모멘트프레임 접합부에 보강 리브를 덧대거나 일부 경간에 소규모 가새(brace)를 추가하여 횡강성을 약간 향상, 변위를 기준치 이내로 조정.</t>
  </si>
  <si>
    <t>강구조의 경우 약간의 강성 증대로도 변위 개선 효과가 있으며, ASCE(AISC) 기준 허용 드리프트 0.5%(H/200) 내로 유지하기 위해 경미한 초과에도 보강을 실시해 안정성 확보함.</t>
  </si>
  <si>
    <t>X-가새 등 철골 브레이싱 시스템을 주요 층에 추가 설치하거나, 기존 RC 코어월이 없다면 신규 전단벽을 도입하여 횡력 저항능력을 20~30% 강화.</t>
  </si>
  <si>
    <t>가새나 전단벽 도입으로 복합구조 건물의 횡변위를 효과적으로 억제할 수 있음. AISC 등에서도 0.5% 이내의 드리프트 유지를 요구하므로, 변위 초과 시 이러한 보강이 필수적임.</t>
  </si>
  <si>
    <t>구조 시스템 전면 보강: 다수의 강재 브레이싱 프레임을 구조 전반에 추가하고, 필요 시 RC 전단 코어월을 신설하여 횡저항 체계를 재구축. 또한 큰 변위를 흡수할 수 있도록 각 층에 점성 댐퍼 등 에너지 소산 장치를 도입하는 방안 병행.</t>
  </si>
  <si>
    <t>기준 대비 30% 초과 변위는 심각한 내진 취약성으로, FEMA 등에서는 이 경우 제진장치나 면진과 같은 첨단 보강으로 변위 저감을 도모하도록 권장함. 기본 횡저항 시스템도 대폭 강화하여 안전률을 높여야 함.</t>
  </si>
  <si>
    <t>철골 기둥 단면에 보강판을 국부 용접하여 단면적을 소폭 확대하거나, 강관 기둥일 경우 콘크리트를 충전해 합성단면 효과를 높여 약 5~10% 내력 증가.</t>
  </si>
  <si>
    <t>AISC 강구조 설계 기준상 φPn 내에서 사용해야 하며 (Pu/φPn ≤1.0), 본 모델은 고온 환경 등을 고려해 0.95로 제한한 상태. 소규모 단면 보강으로도 부족한 5~10% 내력을 보충 가능함.</t>
  </si>
  <si>
    <t>주요 기둥 강도 보강: H형강 기둥이면 플랜지 두께 증가를 위해 전면에 두꺼운 강판을 추가 용접하고, 또는 기둥을 콘크리트로 둘러싸 합성 기둥화(철골-RC 복합)하여 20~30% 내력 증강. 부족한 경우 인접 경간에 새로운 기둥을 증설해 일부 축하중을 분담.</t>
  </si>
  <si>
    <t>강재 보강이나 철골-콘크리트 합성화로 기둥 축내력을 크게 높일 수 있음. 20% 이상 용량 부족 상태는 구조 안전여유를 해치는 것이므로, 코드 만족(≤0.95) 위해 적극적 보강 및 부재 증설이 필요.</t>
  </si>
  <si>
    <t>구조 프레임 자체의 재구성 필요: 기존 기둥들을 전면 강판 보강하여 단면적을 크게 증대하거나 고강도 부재로 교체하고, 동시에 부족한 라인에는 새로운 기둥을 신설하여 하중 경로를 재편성함.</t>
  </si>
  <si>
    <t>안전율 30% 이상 부족한 상태는 심각한 구조 위험이므로, 단일 부재 보강으로 한계가 있음. 신규 세로부재 도입 등으로 부하를 재분배하고 기존 부재도 전면 보강하여 전체 시스템의 축력 안전도를 향상시켜야 함.</t>
  </si>
  <si>
    <t>허용응력을 약간 넘는 부재에 대해 국부 보강 실시. 예를 들어 철골보의 웹이나 플랜지에 보강 립을 덧대 좌굴을 방지하고 강성을 미세 증대, RC 부재에는 CFRP 시트를 붙여 인장면 강도를 보강함.</t>
  </si>
  <si>
    <t>중동 모델은 고온 환경 등을 고려해 부재 사용응력을 90%로 제한하였는데, 경미한 초과 시에도 내구성 확보를 위해 즉시 보강이 필요함. 소규모 보강으로 응력을 허용범위 내로 낮춰 부재의 열화와 손상 위험을 줄일 수 있음.</t>
  </si>
  <si>
    <t>부재 강도 20~30% 증강을 위한 보강: 강재 부재는 전 구간에 걸쳐 플랜지 보강판을 용접하여 단면계수를 증가시키거나 트러스 보조재를 덧붙여 강성을 높임. RC 부재는 강판 앵커 보강이나 단면 증설로 강도를 향상. 또한 과도한 응력이 걸리는 부재에는 하중 재배치를 위해 경간 단축(추가 기둥 설치 등)도 고려.</t>
  </si>
  <si>
    <t>응력 20%+ 초과는 장기적으로 균열·좌굴 등의 위험이 크므로, 설계상 부재는 여유를 두고 사용해야 함. 실제 Eurocode 등도 부재 사용률에 여유를 두도록 설계하며, 따라서 이 정도 초과 시에는 강도 보강과 하중 분산이 반드시 수반되어야 한다.</t>
  </si>
  <si>
    <t>부재 교체 및 시스템 보강: 응력이 크게 초과된 부재는 더 높은 재료등급 또는 큰 단면의 새 부재로 교체하고, 동시에 추가 보나 프레임을 설치하여 하중을 분담시킴. (예: 기존 강재보와 병행하여 추가 강재보를 설치하거나, RC보를 철거 후 강도가 큰 새 보로 교체). 구조 전반에 걸쳐 이러한 보강을 통해 응력 분포를 재조정함.</t>
  </si>
  <si>
    <t>응력이 허용치 대비 30% 이상이면 기존 부재의 파단 가능성이 높아, FEMA 지침 등에서는 부재 교체 수준의 근본 대책을 권고함. 새로운 부재로 교체하거나 보조 지지부를 도입해 전체 구조 응력을 허용 범위로 낮추어야 함 – 이를 통해 안전 여유를 회복함.</t>
  </si>
  <si>
    <t>기존 코어벽 두께 증설이나 벽체 일부 추가 등을 통해 횡강성을 소폭 향상하여 변위를 0.35% 이내로 조정. 또한 모멘트프레임 접합부에 강판 보강을 실시해 강성을 보완.</t>
  </si>
  <si>
    <t>국내 중층 RC 건물의 층간변위 허용치는 약 0.35% 수준으로 설정되며, 경미한 초과는 부분적인 벽체/접합부 보강만으로 충분히 개선 가능함. 실제 Eurocode 기준도 H/250 (0.4%) 내로 드리프트를 제한하고 있음.</t>
  </si>
  <si>
    <t>구조 횡력 저항체계 보강: 기존에 벽체가 부족하다면 추가 RC 전단벽을 핵심 위치에 신설하거나, 기존 벽체에 철근 증설 및 증두(厚)로 강도를 보강하여 횡강도를 20~30% 높임. 아울러 개방된 프레임 구간에는 강재 가새를 설치해 보조 횡저항 경로를 추가 확보.</t>
  </si>
  <si>
    <t>중층 RC 구조에서 기준 대비 변위 10~30% 초과는 비구조재 손상과 구조적 위험 증가를 초래함. 전단벽 보강은 횡강도를 높여 변위를 줄이는 효과가 있으며, KDS 등 내진설계기준에서도 이러한 보강을 통해 목표 변위 만족을 도모하도록 요구함.</t>
  </si>
  <si>
    <t>대대적 보강 실시: 다수의 RC 전단벽을 신규 설치하고 필요한 경우 외부 강재 브레이스 프레임도 덧붙여 구조 전체의 횡저항 능력을 획기적으로 향상. 추가로, 극한 지진 대비 성능을 높이기 위해 기초에 면진장치를 도입하여 지진 입력을 감소시키는 방안도 검토.</t>
  </si>
  <si>
    <t>기준 대비 30%를 넘는 과도한 변위는 현 구조로는 유지 곤란하므로, 근본적인 시스템 보강이 필요함. 예컨대 면진 적용 시 주기 연장을 통해 지진시 변형을 크게 줄일 수 있고, 전단벽 대폭 증설로 횡강도 및 감쇠를 증가시켜 안정화를 꾀할 수 있음.</t>
  </si>
  <si>
    <t>RC 기둥 축내력이 약간 부족한 경우, 탄소섬유 시트로 기둥을 둘러 콘크리트 구속을 향상시키고 필요한 경우 외부에 강봉이나 강판을 체결하여 5~10% 내력 여력을 확보.</t>
  </si>
  <si>
    <t>경미한 축력 부족은 기존 설계의 안전율 범위 내일 수 있으나, KDS 기준상 Pu/Pn ≤ 1.0 충족이 요구됨. FRP 보강 등을 통해 기둥 콘크리트 강도를 높이면 부족분을 메울 수 있고 기둥 연성도 함께 향상됨.</t>
  </si>
  <si>
    <t>기둥 단면 증설 보강: 기존 기둥 주위로 철근콘크리트를 증타하여 단면을 확대하고 강도를 20~30% 끌어올림 (기둥 재축조에 준하는 효과). 또한 일부 구간에 강골조 보강(frame)을 추가해 해당 기둥의 하중 일부를 분담시켜 축력 부담을 줄임.</t>
  </si>
  <si>
    <t>기둥 단면 증설은 기존 대비 큰 강도 증가를 가져와 내력 부족 문제를 해결함. Eurocode 등의 내진 보강지침에서도 기둥 내력이 부족할 경우 단면 증대나 복합화로 설계기준을 만족시키도록 권장하고 있음.</t>
  </si>
  <si>
    <t>전 층 기둥에 대한 전면 보강 및 추가 기둥 신설: 내력 부족이 심한 기존 기둥은 H형강 등 강재 재킷으로 둘러싸 단면적과 축강도를 대폭 향상(강합성 단면화)하고, 부족한 라인에는 신규 RC 기둥 또는 벽체를 추가 설치하여 하중을 재분배함.</t>
  </si>
  <si>
    <t>축력 부족 30% 초과는 대지진 시 붕괴 위험을 초래하므로, 기둥 전면 보강과 새로운 세로부재 신설을 병행한 근본적 대책이 필요함. KDS 및 FEMA 지침 등에서도 이러한 경우 기존 부재에 강재 재킷을 씌우고 추가 기둥/벽을 설치하여 안정성을 회복하도록 권고함.</t>
  </si>
  <si>
    <t>RC 부재는 탄소섬유판 보강이나 추가 철근 부착으로, 강재 부재는 국부 보강판 용접으로 강도를 5~10% 높여 응력을 허용치 이내로 낮춤. 또한 중요 부재의 경우 과도한 활하중이 원인이라면 설비 재배치 등으로 작용 하중 자체를 일부 줄이는 조치도 병행.</t>
  </si>
  <si>
    <t>부재 단면에 대한 적극 보강: RC 부재는 탄소섬유판 다층 부착이나 강재 앵글 덧붙임으로 휨·전단 강도를 20~30% 향상시키고, 강재 부재는 전체 길이에 걸쳐 보강 플레이트를 체결하거나 트러스 보조재를 용접해 강성을 증대시킴. 아울러 구조 리모델링을 통해 과도한 하중을 경감시키는 방안(예: 무거운 비내력벽을 경량 벽으로 교체)도 고려.</t>
  </si>
  <si>
    <t>20~30%의 응력 초과는 보강 없이 방치 시 피로파괴나 균열 확산으로 이어질 수 있어 중대한 문제임. 구조설계 기준상 부재는 허용 응력 내에서 동작해야 내구성을 담보할 수 있으므로, 충분한 단면 보강과 일부 하중 경감 조치를 통해 응력을 낮추는 것이 필요함.</t>
  </si>
  <si>
    <t>부재 교체 또는 추가 지지부 도입을 통한 근본 개선: 해당 부재를 더 큰 단면이나 고강도 재료의 신품 부재로 교체하고, 동시에 그 부재에 가해지던 하중을 나눌 추가 보나 기둥을 설치하여 구조 시스템을 재편성함. (예: 과응력 RC보 옆에 강재 보를 병설하여 2련 보로 만들거나, 중간에 새 기둥을 추가하여 경간을 줄임.)</t>
  </si>
  <si>
    <t>허용치 대비 30%를 넘긴 응력 상태는 기존 부재가 기능을 상실할 수 있는 수준이므로, 부재 교체에 준하는 대책이 요구됨. FEMA 등의 가이드에서도 이러한 극심한 경우에는 부재를 고강도품으로 교체하거나 추가 지지부를 설치하여 구조 응력 분포 자체를 개선하도록 권고하고 있음.</t>
  </si>
  <si>
    <t>지하층 바닥판에 콘크리트를 증타하여 두께 및 자중을 증가시킴으로써 부력 안전율을 약간 향상 (예: 바닥 슬래브 두께 증대 등으로 ~10% 중량 증대).</t>
  </si>
  <si>
    <t>건물 자중을 10% 증가시키면 부력에 대한 안전율도 약 1.1→1.2로 상승함. 기준상 부력 안전율 1.2 이상을 충족해야 안정한데, 소규모 슬래브 보강은 쉽게 자중을 늘려 부족한 안전율을 확보할 수 있는 방법임.</t>
  </si>
  <si>
    <t>프리스트레싱된 락볼트 등 부력 앵커를 기초에 삽입하여 10~30%의 추가 부양력 저항을 확보하고, 지하 외벽 주위로 차수 커튼월을 시공한 후 배수펌프로 지하수위를 강하시켜 부력 발생 자체를 감소시키는 대책을 병행.</t>
  </si>
  <si>
    <t>앵커는 부상력을 지반에 직접 전달하여 안전율을 크게 높이는 효과적 방법임. 국내 설계기준에도 지하구조에 앵커 등을 통해 극한 홍수 시 부력을 저항하도록 설계하게 되어 있음. 또한 지하수위를 저하시켜 부력 크기 자체를 줄이면 남은 부족분을 상당 부분 해소할 수 있음.</t>
  </si>
  <si>
    <t>대규모 타이다운 앵커망 설치: 지하 바닥 전역에 걸쳐 다수의 고용량 앵커/말뚝을 시공하여 구조물을 지반에 완전히 앵커링, 부상력을 전부 상쇄함. 이와 함께 기초를 건물 외곽까지 확장된 매트형으로 증설하여 주변 포화 토사의 중량이 추가로 부력에 저항하도록 설계 변경.</t>
  </si>
  <si>
    <t>부력 안전율이 30% 이상 모자라는 상태는 극한 홍수 시 건물 부상 및 균열 위험이 매우 높음을 의미함. 프리스트레스트 앵커로 구조물을 확실히 지반에 고정하고 기초를 확장하여 주변 흙의 자중을 활용하면 부력 저항능력이 크게 향상됨. 설계지침(예: ASCE 7 및 KDS)에서도 이러한 경우 최소 1.2 이상의 안전율 확보를 엄격히 요구함.</t>
  </si>
  <si>
    <t>지반 주입 및 다짐 등 국부 지반개량으로 추가 침하를 방지. 기초 하부 연약지반에 침투성 그라우트를 주입해 지반 강성을 높이고, 필요한 경우 지하 외곽 주변 지반을 조밀하게 다져 초기 침하를 일부 선행시킨 후 사용.</t>
  </si>
  <si>
    <t>기초 보강: 기존 기초판이나 독립기초 아래에 추가 말뚝(마이크로파일 등)을 삽입하여 기초를 말뚝기초로 전환/보강, 침하를 10~30% 줄임. 또한 심도 혼합처리공법 등으로 기초 하부 연약층을 치환/고결시켜 지반 강도를 높이고 압밀침하를 감소. 필요시 기존 기초를 언더피닝하여 하부 지지면적을 확대.</t>
  </si>
  <si>
    <t>근본적 기초체계 개편: 건물을 전면 말뚝기초 시스템으로 업그레이드하여 연약지반 영향을 배제함. 기존 기초 하부에 설계 길이의 대구경 말뚝들을 촘촘히 시공하고 기초판과 일체화시켜 건물 하중을 직접 견고한 층에 전달. 아울러, 홍수 시 세굴에 대비해 기초 주변에 고강도 세굴방지 매트를 설치하거나 사석을 투설하여 지반 유실로 인한 추가 침하를 방지.</t>
  </si>
  <si>
    <t>입력값</t>
    <phoneticPr fontId="2" type="noConversion"/>
  </si>
  <si>
    <t>보강안</t>
    <phoneticPr fontId="2" type="noConversion"/>
  </si>
  <si>
    <t>미달 범위</t>
    <phoneticPr fontId="2" type="noConversion"/>
  </si>
  <si>
    <t>산정 근거나 기술적 이유</t>
    <phoneticPr fontId="2" type="noConversion"/>
  </si>
  <si>
    <t>층간변위비 (%)</t>
    <phoneticPr fontId="2" type="noConversion"/>
  </si>
  <si>
    <t>최대 응력도 (%)</t>
    <phoneticPr fontId="2" type="noConversion"/>
  </si>
  <si>
    <t>허용 응력을 약간 초과한 상태를 방치하면 재료의 여유 강도가 감소하여 장기 성능에 영향을 줄 수 있음. 간단한 보강으로 응력을 즉시 낮춰주는 것이 바람직하며, 특히 RC 구조물의 균열 억제 및 사용성을 위해 최대 응력도 (%) 100% 이내 유지가 중요함.</t>
  </si>
  <si>
    <t>침하량 (mm)</t>
    <phoneticPr fontId="2" type="noConversion"/>
  </si>
  <si>
    <t>약간의 지반 보강만으로 예상 침하량 (mm)을 허용치 이내로 줄일 수 있음. 일반 건축물의 허용 침하량 (mm) 50 mm는 보편적 한계로, 경미한 초과는 지반개량으로 상쇄 가능.</t>
  </si>
  <si>
    <t>기초 보강 및 말뚝 추가: 기존 얕은 독립기초 등에 마이크로파일 등 소구경 말뚝을 삽입하여 지지력을 향상시키고 침하를 저감. 또한 연약 지반은 치환 공법이나 심도 압밀공법 등을 통해 압축성을 줄여 침하량 (mm)을 20~30% 감소시킴.</t>
  </si>
  <si>
    <t>말뚝 보강으로 기초 하중을 견고한 심부 지층으로 전달하면 침하량 (mm)을 크게 줄일 수 있음. 이러한 보강으로 허용 침하치에 부합시켜 구조 균열 및 경사 등의 위험을 완화할 수 있음.</t>
  </si>
  <si>
    <t>국내 설계 실무상 일반 건축물의 허용 침하량 (mm)은 ~40–50 mm로 설정되어 구조 안전과 기능을 유지함. 약간의 초과가 예상되면 지반개량을 통해 침하량 (mm)을 허용치 이내로 줄여 건물의 안전성과 사용성을 확보할 수 있다.</t>
  </si>
  <si>
    <t>말뚝 보강을 통해 연약지반 영향을 감소시키면 침하량 (mm)을 크게 줄일 수 있음. 특히 지하층이 있는 구조는 말뚝기초로 보강 시 지반 압밀이나 지하수 변동에 의한 침하 위험을 효과적으로 완화할 수 있다.</t>
  </si>
  <si>
    <t>침하량 (mm)이 기준 대비 30% 이상 크면 구조물 균열∙경사 등 심각한 문제가 발생할 수 있으므로, 말뚝기초로의 전환을 통해 침하 문제를 근본적으로 해결해야 함. 또한 세굴 방지 대책을 시행하여 홍수 등 외부 요인에 의한 토사 유실을 막음으로써 장기적인 기초 안정성을 확보해야 함.</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</si>
</sst>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quot;mm&quot;"/>
    <numFmt numFmtId="177" formatCode="0.00_);[Red]\(0.00\)"/>
    <numFmt numFmtId="178" formatCode="0.000_);[Red]\(0.000\)"/>
  </numFmts>
  <fonts count="5" x14ac:knownFonts="1">
    <font>
      <sz val="11"/>
      <color theme="1"/>
      <name val="맑은 고딕"/>
      <family val="2"/>
      <scheme val="minor"/>
    </font>
    <font>
      <b/>
      <sz val="11"/>
      <color theme="1"/>
      <name val="맑은 고딕"/>
      <family val="2"/>
      <scheme val="minor"/>
    </font>
    <font>
      <sz val="8"/>
      <name val="맑은 고딕"/>
      <family val="3"/>
      <charset val="129"/>
      <scheme val="minor"/>
    </font>
    <font>
      <b/>
      <sz val="11"/>
      <color theme="1"/>
      <name val="맑은 고딕"/>
      <family val="3"/>
      <charset val="129"/>
      <scheme val="minor"/>
    </font>
    <font>
      <sz val="11"/>
      <color theme="1"/>
      <name val="맑은 고딕"/>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6" tint="0.59999389629810485"/>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style="medium">
        <color indexed="64"/>
      </right>
      <top style="medium">
        <color indexed="64"/>
      </top>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2">
    <xf numFmtId="0" fontId="0" fillId="0" borderId="0"/>
    <xf numFmtId="9" fontId="4" fillId="0" borderId="0" applyFont="0" applyFill="0" applyBorder="0" applyAlignment="0" applyProtection="0">
      <alignment vertical="center"/>
    </xf>
  </cellStyleXfs>
  <cellXfs count="55">
    <xf numFmtId="0" fontId="0" fillId="0" borderId="0" xfId="0"/>
    <xf numFmtId="0" fontId="0" fillId="0" borderId="1" xfId="0" applyBorder="1"/>
    <xf numFmtId="0" fontId="0" fillId="0" borderId="1" xfId="0" applyBorder="1" applyAlignment="1">
      <alignment vertical="center" wrapText="1"/>
    </xf>
    <xf numFmtId="0" fontId="3" fillId="3" borderId="1" xfId="0" applyFont="1" applyFill="1" applyBorder="1" applyAlignment="1">
      <alignment horizontal="center"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2" borderId="11" xfId="0" applyFont="1" applyFill="1" applyBorder="1" applyAlignment="1">
      <alignment horizontal="center" vertical="top"/>
    </xf>
    <xf numFmtId="0" fontId="1" fillId="2" borderId="12" xfId="0" applyFont="1" applyFill="1" applyBorder="1" applyAlignment="1">
      <alignment horizontal="center" vertical="top"/>
    </xf>
    <xf numFmtId="0" fontId="1" fillId="2" borderId="13" xfId="0" applyFont="1" applyFill="1" applyBorder="1" applyAlignment="1">
      <alignment horizontal="center" vertical="top"/>
    </xf>
    <xf numFmtId="0" fontId="0" fillId="0" borderId="14" xfId="0" applyBorder="1"/>
    <xf numFmtId="0" fontId="0" fillId="0" borderId="2" xfId="0" applyBorder="1"/>
    <xf numFmtId="0" fontId="0" fillId="0" borderId="15" xfId="0" applyBorder="1"/>
    <xf numFmtId="0" fontId="0" fillId="0" borderId="3" xfId="0" applyBorder="1"/>
    <xf numFmtId="0" fontId="0" fillId="0" borderId="4" xfId="0" applyBorder="1"/>
    <xf numFmtId="0" fontId="0" fillId="0" borderId="5" xfId="0" applyBorder="1"/>
    <xf numFmtId="10" fontId="0" fillId="0" borderId="1" xfId="0" applyNumberFormat="1" applyBorder="1" applyAlignment="1">
      <alignment vertical="center" wrapText="1"/>
    </xf>
    <xf numFmtId="9" fontId="0" fillId="0" borderId="1" xfId="0" applyNumberFormat="1"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1" xfId="0" applyBorder="1" applyAlignment="1">
      <alignment vertical="center"/>
    </xf>
    <xf numFmtId="0" fontId="0" fillId="4" borderId="1" xfId="0" applyFill="1"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4" borderId="9" xfId="0" applyFill="1" applyBorder="1" applyAlignment="1">
      <alignment horizontal="center" vertical="center"/>
    </xf>
    <xf numFmtId="0" fontId="0" fillId="0" borderId="9" xfId="0" applyBorder="1" applyAlignment="1">
      <alignment horizontal="center" vertical="center"/>
    </xf>
    <xf numFmtId="0" fontId="0" fillId="0" borderId="16" xfId="0" applyBorder="1" applyAlignment="1">
      <alignment vertical="center" wrapText="1"/>
    </xf>
    <xf numFmtId="0" fontId="0" fillId="0" borderId="17" xfId="0" applyBorder="1" applyAlignment="1">
      <alignment vertical="center" wrapText="1"/>
    </xf>
    <xf numFmtId="0" fontId="0" fillId="0" borderId="7" xfId="0" applyBorder="1" applyAlignment="1">
      <alignment horizontal="center" vertical="center"/>
    </xf>
    <xf numFmtId="0" fontId="0" fillId="0" borderId="10" xfId="0" applyBorder="1" applyAlignment="1">
      <alignment horizontal="center" vertical="center"/>
    </xf>
    <xf numFmtId="9" fontId="0" fillId="0" borderId="4" xfId="1" applyFont="1" applyBorder="1" applyAlignment="1">
      <alignment vertical="center"/>
    </xf>
    <xf numFmtId="9" fontId="0" fillId="0" borderId="1" xfId="1" applyFont="1" applyBorder="1" applyAlignment="1">
      <alignment vertical="center"/>
    </xf>
    <xf numFmtId="9" fontId="0" fillId="4" borderId="1" xfId="0" applyNumberFormat="1" applyFill="1" applyBorder="1" applyAlignment="1">
      <alignment vertical="center"/>
    </xf>
    <xf numFmtId="9" fontId="0" fillId="0" borderId="1" xfId="0" applyNumberFormat="1" applyBorder="1" applyAlignment="1">
      <alignment vertical="center"/>
    </xf>
    <xf numFmtId="9" fontId="0" fillId="0" borderId="9" xfId="1" applyFont="1" applyBorder="1" applyAlignment="1">
      <alignment vertical="center"/>
    </xf>
    <xf numFmtId="9" fontId="0" fillId="0" borderId="1" xfId="1" applyFont="1" applyBorder="1" applyAlignment="1">
      <alignment horizontal="center" vertical="center"/>
    </xf>
    <xf numFmtId="9" fontId="0" fillId="0" borderId="9" xfId="1" applyFont="1" applyBorder="1" applyAlignment="1">
      <alignment horizontal="center" vertical="center"/>
    </xf>
    <xf numFmtId="176" fontId="0" fillId="4" borderId="9" xfId="0" applyNumberFormat="1" applyFill="1" applyBorder="1" applyAlignment="1">
      <alignment vertical="center"/>
    </xf>
    <xf numFmtId="176" fontId="0" fillId="0" borderId="9" xfId="0" applyNumberFormat="1" applyBorder="1" applyAlignment="1">
      <alignment vertical="center"/>
    </xf>
    <xf numFmtId="176" fontId="0" fillId="0" borderId="1" xfId="0" applyNumberFormat="1" applyBorder="1" applyAlignment="1">
      <alignment vertical="center"/>
    </xf>
    <xf numFmtId="177" fontId="0" fillId="4" borderId="4" xfId="0" applyNumberFormat="1" applyFill="1" applyBorder="1" applyAlignment="1">
      <alignment vertical="center"/>
    </xf>
    <xf numFmtId="177" fontId="0" fillId="0" borderId="4" xfId="0" applyNumberFormat="1" applyBorder="1" applyAlignment="1">
      <alignment vertical="center"/>
    </xf>
    <xf numFmtId="178" fontId="0" fillId="4" borderId="4" xfId="0" applyNumberFormat="1" applyFill="1" applyBorder="1" applyAlignment="1">
      <alignment vertical="center"/>
    </xf>
    <xf numFmtId="178" fontId="0" fillId="0" borderId="4" xfId="0" applyNumberFormat="1" applyBorder="1" applyAlignment="1">
      <alignment vertical="center"/>
    </xf>
    <xf numFmtId="177" fontId="0" fillId="4" borderId="1" xfId="0" applyNumberFormat="1" applyFill="1" applyBorder="1" applyAlignment="1">
      <alignment vertical="center"/>
    </xf>
    <xf numFmtId="177" fontId="0" fillId="0" borderId="1" xfId="0" applyNumberFormat="1" applyBorder="1" applyAlignment="1">
      <alignment vertical="center"/>
    </xf>
  </cellXfs>
  <cellStyles count="2">
    <cellStyle name="백분율" xfId="1" builtinId="5"/>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G16"/>
  <sheetViews>
    <sheetView tabSelected="1" zoomScale="85" zoomScaleNormal="85" workbookViewId="0">
      <pane xSplit="1" ySplit="1" topLeftCell="B8" activePane="bottomRight" state="frozen"/>
      <selection pane="topRight" activeCell="C1" sqref="C1"/>
      <selection pane="bottomLeft" activeCell="A3" sqref="A3"/>
      <selection pane="bottomRight" activeCell="D14" sqref="D14"/>
    </sheetView>
  </sheetViews>
  <sheetFormatPr defaultRowHeight="17" x14ac:dyDescent="0.45"/>
  <cols>
    <col min="1" max="1" width="28.58203125" bestFit="1" customWidth="1"/>
    <col min="2" max="2" width="14.6640625" bestFit="1" customWidth="1"/>
    <col min="3" max="3" width="9.5" customWidth="1"/>
    <col min="4" max="5" width="11.9140625" customWidth="1"/>
    <col min="6" max="7" width="37.9140625" bestFit="1" customWidth="1"/>
  </cols>
  <sheetData>
    <row r="1" spans="1:7" ht="17.5" thickBot="1" x14ac:dyDescent="0.5">
      <c r="A1" s="13" t="s">
        <v>0</v>
      </c>
      <c r="B1" s="14" t="s">
        <v>1</v>
      </c>
      <c r="C1" s="14" t="s">
        <v>121</v>
      </c>
      <c r="D1" s="14" t="s">
        <v>2</v>
      </c>
      <c r="E1" s="14" t="s">
        <v>123</v>
      </c>
      <c r="F1" s="14" t="s">
        <v>122</v>
      </c>
      <c r="G1" s="14" t="s">
        <v>124</v>
      </c>
    </row>
    <row r="2" spans="1:7" ht="68.5" thickBot="1" x14ac:dyDescent="0.5">
      <c r="A2" s="24" t="s">
        <v>5</v>
      </c>
      <c r="B2" s="25" t="s">
        <v>125</v>
      </c>
      <c r="C2" s="51">
        <v>0.5</v>
      </c>
      <c r="D2" s="52">
        <v>0.4</v>
      </c>
      <c r="E2" s="39">
        <f>IF((C2-D2)/D2&lt;0,0,(C2-D2)/D2)</f>
        <v>0.24999999999999994</v>
      </c>
      <c r="F2" s="6" t="str">
        <f>IF(E2&lt;=0.1,'보강안 및 근거'!F2,IF(AND(E2&gt;0.1,E2&lt;=0.3),'보강안 및 근거'!F3,IF(E2&gt;0.3,'보강안 및 근거'!F4)))</f>
        <v>주요 방향 골조에 철근콘크리트 전단벽을 신설하거나 강재 브레이싱을 도입하여 횡강성을 대폭 강화함 (20~30%↑ 수준).</v>
      </c>
      <c r="G2" s="7" t="str">
        <f>IF(E2&lt;=0.1,'보강안 및 근거'!G2,IF(AND(E2&gt;0.1,E2&lt;=0.3),'보강안 및 근거'!G3,IF(E2&gt;0.3,'보강안 및 근거'!G4)))</f>
        <v>전단벽 추가는 구조 횡강도를 크게 높여 지진 시 변위를 줄여줌. 기준 변위비 0.4% (H/250 수준)를 만족하기 위해 이러한 보강이 필요하며, 국내·국제 내진기준에서도 권장됨.</v>
      </c>
    </row>
    <row r="3" spans="1:7" ht="85.5" thickBot="1" x14ac:dyDescent="0.5">
      <c r="A3" s="26" t="s">
        <v>5</v>
      </c>
      <c r="B3" s="27" t="s">
        <v>9</v>
      </c>
      <c r="C3" s="28">
        <v>1.1000000000000001</v>
      </c>
      <c r="D3" s="27">
        <v>1</v>
      </c>
      <c r="E3" s="40">
        <f t="shared" ref="E3:E16" si="0">IF((C3-D3)/D3&lt;0,0,(C3-D3)/D3)</f>
        <v>0.10000000000000009</v>
      </c>
      <c r="F3" s="6" t="str">
        <f>IF(E3&lt;=0.1,'보강안 및 근거'!F5,IF(AND(E3&gt;0.1,E3&lt;=0.3),'보강안 및 근거'!F6,IF(E3&gt;0.3,'보강안 및 근거'!F7)))</f>
        <v>RC 기둥의 FRP 랩핑 보강 등을 통해 축력저항을 소폭 증강 (약 5~10%). 국부적으로 기둥에 강판 플레이트나 증설 철근을 추가 배치하여 부족 내력을 보충.</v>
      </c>
      <c r="G3" s="7" t="str">
        <f>IF(E3&lt;=0.1,'보강안 및 근거'!G5,IF(AND(E3&gt;0.1,E3&lt;=0.3),'보강안 및 근거'!G6,IF(E3&gt;0.3,'보강안 및 근거'!G7)))</f>
        <v>FRP로 기둥을 둘러싸면 콘크리트 구속 효과로 축강도가 향상되어 부족분을 메울 수 있음. KDS/ACI 설계 기준상 φPn ≥ Pu (Pu/Pn ≤ 1.0) 만족이 필요하며, 경미한 초과는 소규모 보강으로 해결 가능.</v>
      </c>
    </row>
    <row r="4" spans="1:7" ht="85.5" thickBot="1" x14ac:dyDescent="0.5">
      <c r="A4" s="26" t="s">
        <v>5</v>
      </c>
      <c r="B4" s="27" t="s">
        <v>126</v>
      </c>
      <c r="C4" s="53">
        <v>110</v>
      </c>
      <c r="D4" s="54">
        <v>100</v>
      </c>
      <c r="E4" s="40">
        <f t="shared" si="0"/>
        <v>0.1</v>
      </c>
      <c r="F4" s="6" t="str">
        <f>IF(E4&lt;=0.1,'보강안 및 근거'!F8,IF(AND(E4&gt;0.1,E4&lt;=0.3),'보강안 및 근거'!F9,IF(E4&gt;0.3,'보강안 및 근거'!F10)))</f>
        <v>부재 허용응력을 약간 넘는 경우, RC 부재는 탄소섬유 시트 부착 등으로 강도를 보강하고 강재 부재는 국부 보강판을 덧대어 응력을 10% 이내 감소시킴.</v>
      </c>
      <c r="G4" s="7" t="str">
        <f>IF(E4&lt;=0.1,'보강안 및 근거'!G8,IF(AND(E4&gt;0.1,E4&lt;=0.3),'보강안 및 근거'!G9,IF(E4&gt;0.3,'보강안 및 근거'!G10)))</f>
        <v>소규모 보강으로도 부재 응력을 허용치 이내로 낮출 수 있어 균열∙변형을 방지함. 구조 설계상 재료 항복(100%)을 넘지 않아야 안전과 내구성이 확보되므로, 경미 초과 시 신속한 보강이 권장됨.</v>
      </c>
    </row>
    <row r="5" spans="1:7" ht="68.5" thickBot="1" x14ac:dyDescent="0.5">
      <c r="A5" s="26" t="s">
        <v>5</v>
      </c>
      <c r="B5" s="27" t="s">
        <v>11</v>
      </c>
      <c r="C5" s="28">
        <v>1.1000000000000001</v>
      </c>
      <c r="D5" s="27">
        <v>1.2</v>
      </c>
      <c r="E5" s="40">
        <f>IF((D5-C5)/D5&lt;0,0,(D5-C5)/D5)</f>
        <v>8.3333333333333232E-2</v>
      </c>
      <c r="F5" s="6" t="str">
        <f>IF(E5&lt;=0.1,'보강안 및 근거'!F11,IF(AND(E5&gt;0.1,E5&lt;=0.3),'보강안 및 근거'!F12,IF(E5&gt;0.3,'보강안 및 근거'!F13)))</f>
        <v>기초 슬래브 두께 증대 또는 콘크리트 추가 적재 등을 통해 구조 자체 중량을 약간 증가시켜 부력에 대한 안전율을 1.2 이상으로 끌어올림.</v>
      </c>
      <c r="G5" s="7" t="str">
        <f>IF(E5&lt;=0.1,'보강안 및 근거'!G11,IF(AND(E5&gt;0.1,E5&lt;=0.3),'보강안 및 근거'!G12,IF(E5&gt;0.3,'보강안 및 근거'!G13)))</f>
        <v>자중이 증가하면 부상력에 대한 안정성이 비례 향상됨. 국내 기준(KDS)에서도 부력 안전율 1.2 이상 확보를 요구하며, 약 10% 중량 증대로 부족분을 만회할 수 있음.</v>
      </c>
    </row>
    <row r="6" spans="1:7" ht="119.5" thickBot="1" x14ac:dyDescent="0.5">
      <c r="A6" s="29" t="s">
        <v>5</v>
      </c>
      <c r="B6" s="30" t="s">
        <v>12</v>
      </c>
      <c r="C6" s="46">
        <v>80</v>
      </c>
      <c r="D6" s="47">
        <v>50</v>
      </c>
      <c r="E6" s="43">
        <f t="shared" si="0"/>
        <v>0.6</v>
      </c>
      <c r="F6" s="35" t="str">
        <f>IF(E6&lt;=0.1,'보강안 및 근거'!F14,IF(AND(E6&gt;0.1,E6&lt;=0.3),'보강안 및 근거'!F15,IF(E6&gt;0.3,'보강안 및 근거'!F16)))</f>
        <v>심도 기초로의 전환: 현재 기초를 대체하거나 보강하여 말뚝기초 시스템으로 변경함. 충분한 길이의 말뚝을 설치해 건물 하중을 직접 깊은 지지층에 전달하고 침하를 근본적으로 억제. 아울러, 홍수 시 세굴 위험이 있는 경우 기초 주변에 세굴 방지 매트를 깔아 토사 유실로 인한 추가 침하를 방지.</v>
      </c>
      <c r="G6" s="36" t="str">
        <f>IF(E6&lt;=0.1,'보강안 및 근거'!G14,IF(AND(E6&gt;0.1,E6&lt;=0.3),'보강안 및 근거'!G15,IF(E6&gt;0.3,'보강안 및 근거'!G16)))</f>
        <v>50 mm 초과 침하는 구조물에 심각한 영향을 줄 수 있어 말뚝기초로의 근본적 개선이 필요함. 또한 세굴 방지 대책을 통해 홍수로 인한 지반 유실을 막아 추가 침하를 예방해야 함.</v>
      </c>
    </row>
    <row r="7" spans="1:7" ht="68.5" thickBot="1" x14ac:dyDescent="0.5">
      <c r="A7" s="24" t="s">
        <v>6</v>
      </c>
      <c r="B7" s="25" t="s">
        <v>8</v>
      </c>
      <c r="C7" s="49">
        <v>0.3</v>
      </c>
      <c r="D7" s="50">
        <v>0.5</v>
      </c>
      <c r="E7" s="39">
        <f>IF((C7-D7)/D7&lt;0,0,(C7-D7)/D7)</f>
        <v>0</v>
      </c>
      <c r="F7" s="6" t="str">
        <f>IF(E7&lt;=0.1,'보강안 및 근거'!F17,IF(AND(E7&gt;0.1,E7&lt;=0.3),'보강안 및 근거'!F18,IF(E7&gt;0.3,'보강안 및 근거'!F19)))</f>
        <v>철골 모멘트프레임 접합부에 보강 리브를 덧대거나 일부 경간에 소규모 가새(brace)를 추가하여 횡강성을 약간 향상, 변위를 기준치 이내로 조정.</v>
      </c>
      <c r="G7" s="7" t="str">
        <f>IF(E7&lt;=0.1,'보강안 및 근거'!G17,IF(AND(E7&gt;0.1,E7&lt;=0.3),'보강안 및 근거'!G18,IF(E7&gt;0.3,'보강안 및 근거'!G19)))</f>
        <v>강구조의 경우 약간의 강성 증대로도 변위 개선 효과가 있으며, ASCE(AISC) 기준 허용 드리프트 0.5%(H/200) 내로 유지하기 위해 경미한 초과에도 보강을 실시해 안정성 확보함.</v>
      </c>
    </row>
    <row r="8" spans="1:7" ht="85.5" thickBot="1" x14ac:dyDescent="0.5">
      <c r="A8" s="26" t="s">
        <v>6</v>
      </c>
      <c r="B8" s="27" t="s">
        <v>9</v>
      </c>
      <c r="C8" s="28">
        <v>0.7</v>
      </c>
      <c r="D8" s="27">
        <v>0.95</v>
      </c>
      <c r="E8" s="40">
        <f t="shared" si="0"/>
        <v>0</v>
      </c>
      <c r="F8" s="6" t="str">
        <f>IF(E8&lt;=0.1,'보강안 및 근거'!F20,IF(AND(E8&gt;0.1,E8&lt;=0.3),'보강안 및 근거'!F21,IF(E8&gt;0.3,'보강안 및 근거'!F22)))</f>
        <v>철골 기둥 단면에 보강판을 국부 용접하여 단면적을 소폭 확대하거나, 강관 기둥일 경우 콘크리트를 충전해 합성단면 효과를 높여 약 5~10% 내력 증가.</v>
      </c>
      <c r="G8" s="7" t="str">
        <f>IF(E8&lt;=0.1,'보강안 및 근거'!G20,IF(AND(E8&gt;0.1,E8&lt;=0.3),'보강안 및 근거'!G21,IF(E8&gt;0.3,'보강안 및 근거'!G22)))</f>
        <v>AISC 강구조 설계 기준상 φPn 내에서 사용해야 하며 (Pu/φPn ≤1.0), 본 모델은 고온 환경 등을 고려해 0.95로 제한한 상태. 소규모 단면 보강으로도 부족한 5~10% 내력을 보충 가능함.</v>
      </c>
    </row>
    <row r="9" spans="1:7" ht="102" x14ac:dyDescent="0.45">
      <c r="A9" s="26" t="s">
        <v>6</v>
      </c>
      <c r="B9" s="27" t="s">
        <v>10</v>
      </c>
      <c r="C9" s="41">
        <v>0.85</v>
      </c>
      <c r="D9" s="42">
        <v>0.9</v>
      </c>
      <c r="E9" s="40">
        <f t="shared" si="0"/>
        <v>0</v>
      </c>
      <c r="F9" s="6" t="str">
        <f>IF(E9&lt;=0.1,'보강안 및 근거'!F23,IF(AND(E9&gt;0.1,E9&lt;=0.3),'보강안 및 근거'!F24,IF(E9&gt;0.3,'보강안 및 근거'!F25)))</f>
        <v>허용응력을 약간 넘는 부재에 대해 국부 보강 실시. 예를 들어 철골보의 웹이나 플랜지에 보강 립을 덧대 좌굴을 방지하고 강성을 미세 증대, RC 부재에는 CFRP 시트를 붙여 인장면 강도를 보강함.</v>
      </c>
      <c r="G9" s="7" t="str">
        <f>IF(E9&lt;=0.1,'보강안 및 근거'!G23,IF(AND(E9&gt;0.1,E9&lt;=0.3),'보강안 및 근거'!G24,IF(E9&gt;0.3,'보강안 및 근거'!G25)))</f>
        <v>중동 모델은 고온 환경 등을 고려해 부재 사용응력을 90%로 제한하였는데, 경미한 초과 시에도 내구성 확보를 위해 즉시 보강이 필요함. 소규모 보강으로 응력을 허용범위 내로 낮춰 부재의 열화와 손상 위험을 줄일 수 있음.</v>
      </c>
    </row>
    <row r="10" spans="1:7" x14ac:dyDescent="0.45">
      <c r="A10" s="26" t="s">
        <v>6</v>
      </c>
      <c r="B10" s="27" t="s">
        <v>11</v>
      </c>
      <c r="C10" s="31" t="s">
        <v>13</v>
      </c>
      <c r="D10" s="32" t="s">
        <v>13</v>
      </c>
      <c r="E10" s="44" t="s">
        <v>13</v>
      </c>
      <c r="F10" s="32" t="s">
        <v>13</v>
      </c>
      <c r="G10" s="37" t="s">
        <v>13</v>
      </c>
    </row>
    <row r="11" spans="1:7" ht="17.5" thickBot="1" x14ac:dyDescent="0.5">
      <c r="A11" s="29" t="s">
        <v>6</v>
      </c>
      <c r="B11" s="30" t="s">
        <v>12</v>
      </c>
      <c r="C11" s="33" t="s">
        <v>13</v>
      </c>
      <c r="D11" s="34" t="s">
        <v>13</v>
      </c>
      <c r="E11" s="45" t="s">
        <v>13</v>
      </c>
      <c r="F11" s="34" t="s">
        <v>13</v>
      </c>
      <c r="G11" s="38" t="s">
        <v>13</v>
      </c>
    </row>
    <row r="12" spans="1:7" ht="85.5" thickBot="1" x14ac:dyDescent="0.5">
      <c r="A12" s="24" t="s">
        <v>7</v>
      </c>
      <c r="B12" s="25" t="s">
        <v>8</v>
      </c>
      <c r="C12" s="51">
        <v>0.2</v>
      </c>
      <c r="D12" s="52">
        <v>0.35</v>
      </c>
      <c r="E12" s="39">
        <f>IF((C12-D12)/D12&lt;0,0,(C12-D12)/D12)</f>
        <v>0</v>
      </c>
      <c r="F12" s="6" t="str">
        <f>IF(E12&lt;=0.1,'보강안 및 근거'!F26,IF(AND(E12&gt;0.1,E12&lt;=0.3),'보강안 및 근거'!F27,IF(E12&gt;0.3,'보강안 및 근거'!F28)))</f>
        <v>기존 코어벽 두께 증설이나 벽체 일부 추가 등을 통해 횡강성을 소폭 향상하여 변위를 0.35% 이내로 조정. 또한 모멘트프레임 접합부에 강판 보강을 실시해 강성을 보완.</v>
      </c>
      <c r="G12" s="7" t="str">
        <f>IF(E12&lt;=0.1,'보강안 및 근거'!G26,IF(AND(E12&gt;0.1,E12&lt;=0.3),'보강안 및 근거'!G27,IF(E12&gt;0.3,'보강안 및 근거'!G28)))</f>
        <v>국내 중층 RC 건물의 층간변위 허용치는 약 0.35% 수준으로 설정되며, 경미한 초과는 부분적인 벽체/접합부 보강만으로 충분히 개선 가능함. 실제 Eurocode 기준도 H/250 (0.4%) 내로 드리프트를 제한하고 있음.</v>
      </c>
    </row>
    <row r="13" spans="1:7" ht="85.5" thickBot="1" x14ac:dyDescent="0.5">
      <c r="A13" s="26" t="s">
        <v>7</v>
      </c>
      <c r="B13" s="27" t="s">
        <v>9</v>
      </c>
      <c r="C13" s="28">
        <v>0.9</v>
      </c>
      <c r="D13" s="27">
        <v>1</v>
      </c>
      <c r="E13" s="40">
        <f t="shared" si="0"/>
        <v>0</v>
      </c>
      <c r="F13" s="6" t="str">
        <f>IF(E13&lt;=0.1,'보강안 및 근거'!F29,IF(AND(E13&gt;0.1,E13&lt;=0.3),'보강안 및 근거'!F30,IF(E13&gt;0.3,'보강안 및 근거'!F31)))</f>
        <v>RC 기둥 축내력이 약간 부족한 경우, 탄소섬유 시트로 기둥을 둘러 콘크리트 구속을 향상시키고 필요한 경우 외부에 강봉이나 강판을 체결하여 5~10% 내력 여력을 확보.</v>
      </c>
      <c r="G13" s="7" t="str">
        <f>IF(E13&lt;=0.1,'보강안 및 근거'!G29,IF(AND(E13&gt;0.1,E13&lt;=0.3),'보강안 및 근거'!G30,IF(E13&gt;0.3,'보강안 및 근거'!G31)))</f>
        <v>경미한 축력 부족은 기존 설계의 안전율 범위 내일 수 있으나, KDS 기준상 Pu/Pn ≤ 1.0 충족이 요구됨. FRP 보강 등을 통해 기둥 콘크리트 강도를 높이면 부족분을 메울 수 있고 기둥 연성도 함께 향상됨.</v>
      </c>
    </row>
    <row r="14" spans="1:7" ht="102.5" thickBot="1" x14ac:dyDescent="0.5">
      <c r="A14" s="26" t="s">
        <v>7</v>
      </c>
      <c r="B14" s="27" t="s">
        <v>10</v>
      </c>
      <c r="C14" s="51">
        <v>95</v>
      </c>
      <c r="D14" s="52">
        <v>100</v>
      </c>
      <c r="E14" s="40">
        <f t="shared" si="0"/>
        <v>0</v>
      </c>
      <c r="F14" s="6" t="str">
        <f>IF(E14&lt;=0.1,'보강안 및 근거'!F32,IF(AND(E14&gt;0.1,E14&lt;=0.3),'보강안 및 근거'!F33,IF(E14&gt;0.3,'보강안 및 근거'!F34)))</f>
        <v>RC 부재는 탄소섬유판 보강이나 추가 철근 부착으로, 강재 부재는 국부 보강판 용접으로 강도를 5~10% 높여 응력을 허용치 이내로 낮춤. 또한 중요 부재의 경우 과도한 활하중이 원인이라면 설비 재배치 등으로 작용 하중 자체를 일부 줄이는 조치도 병행.</v>
      </c>
      <c r="G14" s="7" t="str">
        <f>IF(E14&lt;=0.1,'보강안 및 근거'!G32,IF(AND(E14&gt;0.1,E14&lt;=0.3),'보강안 및 근거'!G33,IF(E14&gt;0.3,'보강안 및 근거'!G34)))</f>
        <v>허용 응력을 약간 초과한 상태를 방치하면 재료의 여유 강도가 감소하여 장기 성능에 영향을 줄 수 있음. 간단한 보강으로 응력을 즉시 낮춰주는 것이 바람직하며, 특히 RC 구조물의 균열 억제 및 사용성을 위해 최대 응력도 (%) 100% 이내 유지가 중요함.</v>
      </c>
    </row>
    <row r="15" spans="1:7" ht="85" x14ac:dyDescent="0.45">
      <c r="A15" s="26" t="s">
        <v>7</v>
      </c>
      <c r="B15" s="27" t="s">
        <v>11</v>
      </c>
      <c r="C15" s="28">
        <v>1.1000000000000001</v>
      </c>
      <c r="D15" s="27">
        <v>1.2</v>
      </c>
      <c r="E15" s="40">
        <f>IF((D15-C15)/D15&lt;0,0,(D15-C15)/D15)</f>
        <v>8.3333333333333232E-2</v>
      </c>
      <c r="F15" s="6" t="str">
        <f>IF(E15&lt;=0.1,'보강안 및 근거'!F35,IF(AND(E15&gt;0.1,E15&lt;=0.3),'보강안 및 근거'!F36,IF(E15&gt;0.3,'보강안 및 근거'!F37)))</f>
        <v>지하층 바닥판에 콘크리트를 증타하여 두께 및 자중을 증가시킴으로써 부력 안전율을 약간 향상 (예: 바닥 슬래브 두께 증대 등으로 ~10% 중량 증대).</v>
      </c>
      <c r="G15" s="7" t="str">
        <f>IF(E15&lt;=0.1,'보강안 및 근거'!G35,IF(AND(E15&gt;0.1,E15&lt;=0.3),'보강안 및 근거'!G36,IF(E15&gt;0.3,'보강안 및 근거'!G37)))</f>
        <v>건물 자중을 10% 증가시키면 부력에 대한 안전율도 약 1.1→1.2로 상승함. 기준상 부력 안전율 1.2 이상을 충족해야 안정한데, 소규모 슬래브 보강은 쉽게 자중을 늘려 부족한 안전율을 확보할 수 있는 방법임.</v>
      </c>
    </row>
    <row r="16" spans="1:7" ht="153.5" thickBot="1" x14ac:dyDescent="0.5">
      <c r="A16" s="29" t="s">
        <v>7</v>
      </c>
      <c r="B16" s="30" t="s">
        <v>128</v>
      </c>
      <c r="C16" s="46">
        <v>60</v>
      </c>
      <c r="D16" s="47">
        <v>40</v>
      </c>
      <c r="E16" s="43">
        <f t="shared" si="0"/>
        <v>0.5</v>
      </c>
      <c r="F16" s="4" t="str">
        <f>IF(E16&lt;=0.1,'보강안 및 근거'!F38,IF(AND(E16&gt;0.1,E16&lt;=0.3),'보강안 및 근거'!F39,IF(E16&gt;0.3,'보강안 및 근거'!F40)))</f>
        <v>근본적 기초체계 개편: 건물을 전면 말뚝기초 시스템으로 업그레이드하여 연약지반 영향을 배제함. 기존 기초 하부에 설계 길이의 대구경 말뚝들을 촘촘히 시공하고 기초판과 일체화시켜 건물 하중을 직접 견고한 층에 전달. 아울러, 홍수 시 세굴에 대비해 기초 주변에 고강도 세굴방지 매트를 설치하거나 사석을 투설하여 지반 유실로 인한 추가 침하를 방지.</v>
      </c>
      <c r="G16" s="5" t="str">
        <f>IF(E16&lt;=0.1,'보강안 및 근거'!G38,IF(AND(E16&gt;0.1,E16&lt;=0.3),'보강안 및 근거'!G39,IF(E16&gt;0.3,'보강안 및 근거'!G40)))</f>
        <v>침하량 (mm)이 기준 대비 30% 이상 크면 구조물 균열∙경사 등 심각한 문제가 발생할 수 있으므로, 말뚝기초로의 전환을 통해 침하 문제를 근본적으로 해결해야 함. 또한 세굴 방지 대책을 시행하여 홍수 등 외부 요인에 의한 토사 유실을 막음으로써 장기적인 기초 안정성을 확보해야 함.</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7"/>
  <sheetViews>
    <sheetView workbookViewId="0">
      <selection activeCell="D3" sqref="D3"/>
    </sheetView>
  </sheetViews>
  <sheetFormatPr defaultRowHeight="17" x14ac:dyDescent="0.45"/>
  <cols>
    <col min="1" max="1" width="4.33203125" customWidth="1"/>
    <col min="2" max="2" width="28.58203125" bestFit="1" customWidth="1"/>
    <col min="3" max="3" width="14.6640625" bestFit="1" customWidth="1"/>
    <col min="4" max="4" width="6.83203125" bestFit="1" customWidth="1"/>
    <col min="5" max="5" width="37.9140625" bestFit="1" customWidth="1"/>
    <col min="6" max="6" width="65" bestFit="1" customWidth="1"/>
  </cols>
  <sheetData>
    <row r="1" spans="2:6" ht="17.5" thickBot="1" x14ac:dyDescent="0.5"/>
    <row r="2" spans="2:6" ht="17.5" thickBot="1" x14ac:dyDescent="0.5">
      <c r="B2" s="13" t="s">
        <v>0</v>
      </c>
      <c r="C2" s="14" t="s">
        <v>1</v>
      </c>
      <c r="D2" s="14" t="s">
        <v>2</v>
      </c>
      <c r="E2" s="14" t="s">
        <v>3</v>
      </c>
      <c r="F2" s="15" t="s">
        <v>4</v>
      </c>
    </row>
    <row r="3" spans="2:6" x14ac:dyDescent="0.45">
      <c r="B3" s="19" t="s">
        <v>5</v>
      </c>
      <c r="C3" s="20" t="s">
        <v>8</v>
      </c>
      <c r="D3" s="20">
        <v>0.4</v>
      </c>
      <c r="E3" s="20" t="s">
        <v>14</v>
      </c>
      <c r="F3" s="21" t="s">
        <v>29</v>
      </c>
    </row>
    <row r="4" spans="2:6" x14ac:dyDescent="0.45">
      <c r="B4" s="8" t="s">
        <v>5</v>
      </c>
      <c r="C4" s="1" t="s">
        <v>9</v>
      </c>
      <c r="D4" s="1">
        <v>1</v>
      </c>
      <c r="E4" s="1" t="s">
        <v>15</v>
      </c>
      <c r="F4" s="9" t="s">
        <v>30</v>
      </c>
    </row>
    <row r="5" spans="2:6" x14ac:dyDescent="0.45">
      <c r="B5" s="8" t="s">
        <v>5</v>
      </c>
      <c r="C5" s="1" t="s">
        <v>10</v>
      </c>
      <c r="D5" s="1">
        <v>100</v>
      </c>
      <c r="E5" s="1" t="s">
        <v>16</v>
      </c>
      <c r="F5" s="9" t="s">
        <v>31</v>
      </c>
    </row>
    <row r="6" spans="2:6" x14ac:dyDescent="0.45">
      <c r="B6" s="8" t="s">
        <v>5</v>
      </c>
      <c r="C6" s="1" t="s">
        <v>11</v>
      </c>
      <c r="D6" s="1">
        <v>1.2</v>
      </c>
      <c r="E6" s="1" t="s">
        <v>17</v>
      </c>
      <c r="F6" s="9" t="s">
        <v>32</v>
      </c>
    </row>
    <row r="7" spans="2:6" ht="17.5" thickBot="1" x14ac:dyDescent="0.5">
      <c r="B7" s="10" t="s">
        <v>5</v>
      </c>
      <c r="C7" s="11" t="s">
        <v>12</v>
      </c>
      <c r="D7" s="11">
        <v>50</v>
      </c>
      <c r="E7" s="11" t="s">
        <v>18</v>
      </c>
      <c r="F7" s="12" t="s">
        <v>33</v>
      </c>
    </row>
    <row r="8" spans="2:6" x14ac:dyDescent="0.45">
      <c r="B8" s="19" t="s">
        <v>6</v>
      </c>
      <c r="C8" s="20" t="s">
        <v>8</v>
      </c>
      <c r="D8" s="20">
        <v>0.5</v>
      </c>
      <c r="E8" s="20" t="s">
        <v>19</v>
      </c>
      <c r="F8" s="21" t="s">
        <v>34</v>
      </c>
    </row>
    <row r="9" spans="2:6" x14ac:dyDescent="0.45">
      <c r="B9" s="8" t="s">
        <v>6</v>
      </c>
      <c r="C9" s="1" t="s">
        <v>9</v>
      </c>
      <c r="D9" s="1">
        <v>0.95</v>
      </c>
      <c r="E9" s="1" t="s">
        <v>20</v>
      </c>
      <c r="F9" s="9" t="s">
        <v>35</v>
      </c>
    </row>
    <row r="10" spans="2:6" x14ac:dyDescent="0.45">
      <c r="B10" s="8" t="s">
        <v>6</v>
      </c>
      <c r="C10" s="1" t="s">
        <v>10</v>
      </c>
      <c r="D10" s="1">
        <v>90</v>
      </c>
      <c r="E10" s="1" t="s">
        <v>21</v>
      </c>
      <c r="F10" s="9" t="s">
        <v>36</v>
      </c>
    </row>
    <row r="11" spans="2:6" x14ac:dyDescent="0.45">
      <c r="B11" s="8" t="s">
        <v>6</v>
      </c>
      <c r="C11" s="1" t="s">
        <v>11</v>
      </c>
      <c r="D11" s="1" t="s">
        <v>13</v>
      </c>
      <c r="E11" s="1" t="s">
        <v>22</v>
      </c>
      <c r="F11" s="9" t="s">
        <v>37</v>
      </c>
    </row>
    <row r="12" spans="2:6" ht="17.5" thickBot="1" x14ac:dyDescent="0.5">
      <c r="B12" s="10" t="s">
        <v>6</v>
      </c>
      <c r="C12" s="11" t="s">
        <v>12</v>
      </c>
      <c r="D12" s="11" t="s">
        <v>13</v>
      </c>
      <c r="E12" s="11" t="s">
        <v>23</v>
      </c>
      <c r="F12" s="12" t="s">
        <v>38</v>
      </c>
    </row>
    <row r="13" spans="2:6" x14ac:dyDescent="0.45">
      <c r="B13" s="16" t="s">
        <v>7</v>
      </c>
      <c r="C13" s="17" t="s">
        <v>8</v>
      </c>
      <c r="D13" s="17">
        <v>0.35</v>
      </c>
      <c r="E13" s="17" t="s">
        <v>24</v>
      </c>
      <c r="F13" s="18" t="s">
        <v>39</v>
      </c>
    </row>
    <row r="14" spans="2:6" x14ac:dyDescent="0.45">
      <c r="B14" s="8" t="s">
        <v>7</v>
      </c>
      <c r="C14" s="1" t="s">
        <v>9</v>
      </c>
      <c r="D14" s="1">
        <v>1</v>
      </c>
      <c r="E14" s="1" t="s">
        <v>25</v>
      </c>
      <c r="F14" s="9" t="s">
        <v>40</v>
      </c>
    </row>
    <row r="15" spans="2:6" x14ac:dyDescent="0.45">
      <c r="B15" s="8" t="s">
        <v>7</v>
      </c>
      <c r="C15" s="1" t="s">
        <v>10</v>
      </c>
      <c r="D15" s="1">
        <v>100</v>
      </c>
      <c r="E15" s="1" t="s">
        <v>26</v>
      </c>
      <c r="F15" s="9" t="s">
        <v>41</v>
      </c>
    </row>
    <row r="16" spans="2:6" x14ac:dyDescent="0.45">
      <c r="B16" s="8" t="s">
        <v>7</v>
      </c>
      <c r="C16" s="1" t="s">
        <v>11</v>
      </c>
      <c r="D16" s="1">
        <v>1.2</v>
      </c>
      <c r="E16" s="1" t="s">
        <v>27</v>
      </c>
      <c r="F16" s="9" t="s">
        <v>42</v>
      </c>
    </row>
    <row r="17" spans="2:6" ht="17.5" thickBot="1" x14ac:dyDescent="0.5">
      <c r="B17" s="10" t="s">
        <v>7</v>
      </c>
      <c r="C17" s="11" t="s">
        <v>12</v>
      </c>
      <c r="D17" s="11">
        <v>40</v>
      </c>
      <c r="E17" s="11" t="s">
        <v>28</v>
      </c>
      <c r="F17" s="12" t="s">
        <v>43</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
  <sheetViews>
    <sheetView workbookViewId="0">
      <pane xSplit="1" ySplit="1" topLeftCell="B2" activePane="bottomRight" state="frozen"/>
      <selection pane="topRight" activeCell="C1" sqref="C1"/>
      <selection pane="bottomLeft" activeCell="A3" sqref="A3"/>
      <selection pane="bottomRight" activeCell="E37" sqref="E37"/>
    </sheetView>
  </sheetViews>
  <sheetFormatPr defaultRowHeight="17" x14ac:dyDescent="0.45"/>
  <cols>
    <col min="1" max="1" width="25.6640625" customWidth="1"/>
    <col min="2" max="3" width="12.1640625" customWidth="1"/>
    <col min="4" max="4" width="7.75" bestFit="1" customWidth="1"/>
    <col min="5" max="5" width="10.33203125" customWidth="1"/>
    <col min="6" max="6" width="36.1640625" customWidth="1"/>
    <col min="7" max="7" width="45.9140625" customWidth="1"/>
  </cols>
  <sheetData>
    <row r="1" spans="1:7" x14ac:dyDescent="0.45">
      <c r="A1" s="3" t="s">
        <v>0</v>
      </c>
      <c r="B1" s="3" t="s">
        <v>1</v>
      </c>
      <c r="C1" s="3"/>
      <c r="D1" s="3" t="s">
        <v>2</v>
      </c>
      <c r="E1" s="3" t="s">
        <v>44</v>
      </c>
      <c r="F1" s="3" t="s">
        <v>45</v>
      </c>
      <c r="G1" s="3" t="s">
        <v>46</v>
      </c>
    </row>
    <row r="2" spans="1:7" ht="68" x14ac:dyDescent="0.45">
      <c r="A2" s="2" t="s">
        <v>5</v>
      </c>
      <c r="B2" s="2" t="s">
        <v>8</v>
      </c>
      <c r="C2" s="2"/>
      <c r="D2" s="22">
        <v>4.0000000000000001E-3</v>
      </c>
      <c r="E2" s="2" t="s">
        <v>47</v>
      </c>
      <c r="F2" s="2" t="s">
        <v>48</v>
      </c>
      <c r="G2" s="2" t="s">
        <v>49</v>
      </c>
    </row>
    <row r="3" spans="1:7" ht="68" x14ac:dyDescent="0.45">
      <c r="A3" s="2" t="s">
        <v>5</v>
      </c>
      <c r="B3" s="2" t="s">
        <v>8</v>
      </c>
      <c r="C3" s="2"/>
      <c r="D3" s="22">
        <v>4.0000000000000001E-3</v>
      </c>
      <c r="E3" s="2" t="s">
        <v>50</v>
      </c>
      <c r="F3" s="2" t="s">
        <v>51</v>
      </c>
      <c r="G3" s="2" t="s">
        <v>52</v>
      </c>
    </row>
    <row r="4" spans="1:7" ht="68" x14ac:dyDescent="0.45">
      <c r="A4" s="2" t="s">
        <v>5</v>
      </c>
      <c r="B4" s="2" t="s">
        <v>8</v>
      </c>
      <c r="C4" s="2"/>
      <c r="D4" s="22">
        <v>4.0000000000000001E-3</v>
      </c>
      <c r="E4" s="2" t="s">
        <v>53</v>
      </c>
      <c r="F4" s="2" t="s">
        <v>54</v>
      </c>
      <c r="G4" s="2" t="s">
        <v>55</v>
      </c>
    </row>
    <row r="5" spans="1:7" ht="68" x14ac:dyDescent="0.45">
      <c r="A5" s="2" t="s">
        <v>5</v>
      </c>
      <c r="B5" s="2" t="s">
        <v>9</v>
      </c>
      <c r="C5" s="2"/>
      <c r="D5" s="2">
        <v>1</v>
      </c>
      <c r="E5" s="2" t="s">
        <v>47</v>
      </c>
      <c r="F5" s="2" t="s">
        <v>56</v>
      </c>
      <c r="G5" s="2" t="s">
        <v>57</v>
      </c>
    </row>
    <row r="6" spans="1:7" ht="85" x14ac:dyDescent="0.45">
      <c r="A6" s="2" t="s">
        <v>5</v>
      </c>
      <c r="B6" s="2" t="s">
        <v>9</v>
      </c>
      <c r="C6" s="2"/>
      <c r="D6" s="2">
        <v>1</v>
      </c>
      <c r="E6" s="2" t="s">
        <v>50</v>
      </c>
      <c r="F6" s="2" t="s">
        <v>58</v>
      </c>
      <c r="G6" s="2" t="s">
        <v>59</v>
      </c>
    </row>
    <row r="7" spans="1:7" ht="68" x14ac:dyDescent="0.45">
      <c r="A7" s="2" t="s">
        <v>5</v>
      </c>
      <c r="B7" s="2" t="s">
        <v>9</v>
      </c>
      <c r="C7" s="2"/>
      <c r="D7" s="2">
        <v>1</v>
      </c>
      <c r="E7" s="2" t="s">
        <v>53</v>
      </c>
      <c r="F7" s="2" t="s">
        <v>60</v>
      </c>
      <c r="G7" s="2" t="s">
        <v>61</v>
      </c>
    </row>
    <row r="8" spans="1:7" ht="68" x14ac:dyDescent="0.45">
      <c r="A8" s="2" t="s">
        <v>5</v>
      </c>
      <c r="B8" s="2" t="s">
        <v>10</v>
      </c>
      <c r="C8" s="2"/>
      <c r="D8" s="23">
        <v>1</v>
      </c>
      <c r="E8" s="2" t="s">
        <v>47</v>
      </c>
      <c r="F8" s="2" t="s">
        <v>62</v>
      </c>
      <c r="G8" s="2" t="s">
        <v>63</v>
      </c>
    </row>
    <row r="9" spans="1:7" ht="102" x14ac:dyDescent="0.45">
      <c r="A9" s="2" t="s">
        <v>5</v>
      </c>
      <c r="B9" s="2" t="s">
        <v>10</v>
      </c>
      <c r="C9" s="2"/>
      <c r="D9" s="23">
        <v>1</v>
      </c>
      <c r="E9" s="2" t="s">
        <v>50</v>
      </c>
      <c r="F9" s="2" t="s">
        <v>64</v>
      </c>
      <c r="G9" s="2" t="s">
        <v>65</v>
      </c>
    </row>
    <row r="10" spans="1:7" ht="119" x14ac:dyDescent="0.45">
      <c r="A10" s="2" t="s">
        <v>5</v>
      </c>
      <c r="B10" s="2" t="s">
        <v>10</v>
      </c>
      <c r="C10" s="2"/>
      <c r="D10" s="23">
        <v>1</v>
      </c>
      <c r="E10" s="2" t="s">
        <v>53</v>
      </c>
      <c r="F10" s="2" t="s">
        <v>66</v>
      </c>
      <c r="G10" s="2" t="s">
        <v>67</v>
      </c>
    </row>
    <row r="11" spans="1:7" ht="68" x14ac:dyDescent="0.45">
      <c r="A11" s="2" t="s">
        <v>5</v>
      </c>
      <c r="B11" s="2" t="s">
        <v>11</v>
      </c>
      <c r="C11" s="2"/>
      <c r="D11" s="2">
        <v>1.2</v>
      </c>
      <c r="E11" s="2" t="s">
        <v>47</v>
      </c>
      <c r="F11" s="2" t="s">
        <v>68</v>
      </c>
      <c r="G11" s="2" t="s">
        <v>69</v>
      </c>
    </row>
    <row r="12" spans="1:7" ht="85" x14ac:dyDescent="0.45">
      <c r="A12" s="2" t="s">
        <v>5</v>
      </c>
      <c r="B12" s="2" t="s">
        <v>11</v>
      </c>
      <c r="C12" s="2"/>
      <c r="D12" s="2">
        <v>1.2</v>
      </c>
      <c r="E12" s="2" t="s">
        <v>50</v>
      </c>
      <c r="F12" s="2" t="s">
        <v>70</v>
      </c>
      <c r="G12" s="2" t="s">
        <v>71</v>
      </c>
    </row>
    <row r="13" spans="1:7" ht="102" x14ac:dyDescent="0.45">
      <c r="A13" s="2" t="s">
        <v>5</v>
      </c>
      <c r="B13" s="2" t="s">
        <v>11</v>
      </c>
      <c r="C13" s="2"/>
      <c r="D13" s="2">
        <v>1.2</v>
      </c>
      <c r="E13" s="2" t="s">
        <v>53</v>
      </c>
      <c r="F13" s="2" t="s">
        <v>72</v>
      </c>
      <c r="G13" s="2" t="s">
        <v>73</v>
      </c>
    </row>
    <row r="14" spans="1:7" ht="68" x14ac:dyDescent="0.45">
      <c r="A14" s="2" t="s">
        <v>5</v>
      </c>
      <c r="B14" s="2" t="s">
        <v>12</v>
      </c>
      <c r="C14" s="2"/>
      <c r="D14" s="48">
        <v>50</v>
      </c>
      <c r="E14" s="2" t="s">
        <v>47</v>
      </c>
      <c r="F14" s="2" t="s">
        <v>74</v>
      </c>
      <c r="G14" s="2" t="s">
        <v>129</v>
      </c>
    </row>
    <row r="15" spans="1:7" ht="102" x14ac:dyDescent="0.45">
      <c r="A15" s="2" t="s">
        <v>5</v>
      </c>
      <c r="B15" s="2" t="s">
        <v>12</v>
      </c>
      <c r="C15" s="2"/>
      <c r="D15" s="48">
        <v>50</v>
      </c>
      <c r="E15" s="2" t="s">
        <v>50</v>
      </c>
      <c r="F15" s="2" t="s">
        <v>130</v>
      </c>
      <c r="G15" s="2" t="s">
        <v>131</v>
      </c>
    </row>
    <row r="16" spans="1:7" ht="119" x14ac:dyDescent="0.45">
      <c r="A16" s="2" t="s">
        <v>5</v>
      </c>
      <c r="B16" s="2" t="s">
        <v>12</v>
      </c>
      <c r="C16" s="2"/>
      <c r="D16" s="48">
        <v>50</v>
      </c>
      <c r="E16" s="2" t="s">
        <v>53</v>
      </c>
      <c r="F16" s="2" t="s">
        <v>75</v>
      </c>
      <c r="G16" s="2" t="s">
        <v>76</v>
      </c>
    </row>
    <row r="17" spans="1:7" ht="68" x14ac:dyDescent="0.45">
      <c r="A17" s="2" t="s">
        <v>6</v>
      </c>
      <c r="B17" s="2" t="s">
        <v>8</v>
      </c>
      <c r="C17" s="2"/>
      <c r="D17" s="22">
        <v>5.0000000000000001E-3</v>
      </c>
      <c r="E17" s="2" t="s">
        <v>47</v>
      </c>
      <c r="F17" s="2" t="s">
        <v>77</v>
      </c>
      <c r="G17" s="2" t="s">
        <v>78</v>
      </c>
    </row>
    <row r="18" spans="1:7" ht="68" x14ac:dyDescent="0.45">
      <c r="A18" s="2" t="s">
        <v>6</v>
      </c>
      <c r="B18" s="2" t="s">
        <v>8</v>
      </c>
      <c r="C18" s="2"/>
      <c r="D18" s="22">
        <v>5.0000000000000001E-3</v>
      </c>
      <c r="E18" s="2" t="s">
        <v>50</v>
      </c>
      <c r="F18" s="2" t="s">
        <v>79</v>
      </c>
      <c r="G18" s="2" t="s">
        <v>80</v>
      </c>
    </row>
    <row r="19" spans="1:7" ht="102" x14ac:dyDescent="0.45">
      <c r="A19" s="2" t="s">
        <v>6</v>
      </c>
      <c r="B19" s="2" t="s">
        <v>8</v>
      </c>
      <c r="C19" s="2"/>
      <c r="D19" s="22">
        <v>5.0000000000000001E-3</v>
      </c>
      <c r="E19" s="2" t="s">
        <v>53</v>
      </c>
      <c r="F19" s="2" t="s">
        <v>81</v>
      </c>
      <c r="G19" s="2" t="s">
        <v>82</v>
      </c>
    </row>
    <row r="20" spans="1:7" ht="68" x14ac:dyDescent="0.45">
      <c r="A20" s="2" t="s">
        <v>6</v>
      </c>
      <c r="B20" s="2" t="s">
        <v>9</v>
      </c>
      <c r="C20" s="2"/>
      <c r="D20" s="2">
        <v>0.95</v>
      </c>
      <c r="E20" s="2" t="s">
        <v>47</v>
      </c>
      <c r="F20" s="2" t="s">
        <v>83</v>
      </c>
      <c r="G20" s="2" t="s">
        <v>84</v>
      </c>
    </row>
    <row r="21" spans="1:7" ht="119" x14ac:dyDescent="0.45">
      <c r="A21" s="2" t="s">
        <v>6</v>
      </c>
      <c r="B21" s="2" t="s">
        <v>9</v>
      </c>
      <c r="C21" s="2"/>
      <c r="D21" s="2">
        <v>0.95</v>
      </c>
      <c r="E21" s="2" t="s">
        <v>50</v>
      </c>
      <c r="F21" s="2" t="s">
        <v>85</v>
      </c>
      <c r="G21" s="2" t="s">
        <v>86</v>
      </c>
    </row>
    <row r="22" spans="1:7" ht="85" x14ac:dyDescent="0.45">
      <c r="A22" s="2" t="s">
        <v>6</v>
      </c>
      <c r="B22" s="2" t="s">
        <v>9</v>
      </c>
      <c r="C22" s="2"/>
      <c r="D22" s="2">
        <v>0.95</v>
      </c>
      <c r="E22" s="2" t="s">
        <v>53</v>
      </c>
      <c r="F22" s="2" t="s">
        <v>87</v>
      </c>
      <c r="G22" s="2" t="s">
        <v>88</v>
      </c>
    </row>
    <row r="23" spans="1:7" ht="85" x14ac:dyDescent="0.45">
      <c r="A23" s="2" t="s">
        <v>6</v>
      </c>
      <c r="B23" s="2" t="s">
        <v>10</v>
      </c>
      <c r="C23" s="2"/>
      <c r="D23" s="23">
        <v>0.9</v>
      </c>
      <c r="E23" s="2" t="s">
        <v>47</v>
      </c>
      <c r="F23" s="2" t="s">
        <v>89</v>
      </c>
      <c r="G23" s="2" t="s">
        <v>90</v>
      </c>
    </row>
    <row r="24" spans="1:7" ht="136" x14ac:dyDescent="0.45">
      <c r="A24" s="2" t="s">
        <v>6</v>
      </c>
      <c r="B24" s="2" t="s">
        <v>10</v>
      </c>
      <c r="C24" s="2"/>
      <c r="D24" s="23">
        <v>0.9</v>
      </c>
      <c r="E24" s="2" t="s">
        <v>50</v>
      </c>
      <c r="F24" s="2" t="s">
        <v>91</v>
      </c>
      <c r="G24" s="2" t="s">
        <v>92</v>
      </c>
    </row>
    <row r="25" spans="1:7" ht="136" x14ac:dyDescent="0.45">
      <c r="A25" s="2" t="s">
        <v>6</v>
      </c>
      <c r="B25" s="2" t="s">
        <v>10</v>
      </c>
      <c r="C25" s="2"/>
      <c r="D25" s="23">
        <v>0.9</v>
      </c>
      <c r="E25" s="2" t="s">
        <v>53</v>
      </c>
      <c r="F25" s="2" t="s">
        <v>93</v>
      </c>
      <c r="G25" s="2" t="s">
        <v>94</v>
      </c>
    </row>
    <row r="26" spans="1:7" ht="68" x14ac:dyDescent="0.45">
      <c r="A26" s="2" t="s">
        <v>7</v>
      </c>
      <c r="B26" s="2" t="s">
        <v>8</v>
      </c>
      <c r="C26" s="2"/>
      <c r="D26" s="22">
        <v>3.5000000000000001E-3</v>
      </c>
      <c r="E26" s="2" t="s">
        <v>47</v>
      </c>
      <c r="F26" s="2" t="s">
        <v>95</v>
      </c>
      <c r="G26" s="2" t="s">
        <v>96</v>
      </c>
    </row>
    <row r="27" spans="1:7" ht="119" x14ac:dyDescent="0.45">
      <c r="A27" s="2" t="s">
        <v>7</v>
      </c>
      <c r="B27" s="2" t="s">
        <v>8</v>
      </c>
      <c r="C27" s="2"/>
      <c r="D27" s="22">
        <v>3.5000000000000001E-3</v>
      </c>
      <c r="E27" s="2" t="s">
        <v>50</v>
      </c>
      <c r="F27" s="2" t="s">
        <v>97</v>
      </c>
      <c r="G27" s="2" t="s">
        <v>98</v>
      </c>
    </row>
    <row r="28" spans="1:7" ht="119" x14ac:dyDescent="0.45">
      <c r="A28" s="2" t="s">
        <v>7</v>
      </c>
      <c r="B28" s="2" t="s">
        <v>8</v>
      </c>
      <c r="C28" s="2"/>
      <c r="D28" s="22">
        <v>3.5000000000000001E-3</v>
      </c>
      <c r="E28" s="2" t="s">
        <v>53</v>
      </c>
      <c r="F28" s="2" t="s">
        <v>99</v>
      </c>
      <c r="G28" s="2" t="s">
        <v>100</v>
      </c>
    </row>
    <row r="29" spans="1:7" ht="68" x14ac:dyDescent="0.45">
      <c r="A29" s="2" t="s">
        <v>7</v>
      </c>
      <c r="B29" s="2" t="s">
        <v>9</v>
      </c>
      <c r="C29" s="2"/>
      <c r="D29" s="2">
        <v>1</v>
      </c>
      <c r="E29" s="2" t="s">
        <v>47</v>
      </c>
      <c r="F29" s="2" t="s">
        <v>101</v>
      </c>
      <c r="G29" s="2" t="s">
        <v>102</v>
      </c>
    </row>
    <row r="30" spans="1:7" ht="102" x14ac:dyDescent="0.45">
      <c r="A30" s="2" t="s">
        <v>7</v>
      </c>
      <c r="B30" s="2" t="s">
        <v>9</v>
      </c>
      <c r="C30" s="2"/>
      <c r="D30" s="2">
        <v>1</v>
      </c>
      <c r="E30" s="2" t="s">
        <v>50</v>
      </c>
      <c r="F30" s="2" t="s">
        <v>103</v>
      </c>
      <c r="G30" s="2" t="s">
        <v>104</v>
      </c>
    </row>
    <row r="31" spans="1:7" ht="102" x14ac:dyDescent="0.45">
      <c r="A31" s="2" t="s">
        <v>7</v>
      </c>
      <c r="B31" s="2" t="s">
        <v>9</v>
      </c>
      <c r="C31" s="2"/>
      <c r="D31" s="2">
        <v>1</v>
      </c>
      <c r="E31" s="2" t="s">
        <v>53</v>
      </c>
      <c r="F31" s="2" t="s">
        <v>105</v>
      </c>
      <c r="G31" s="2" t="s">
        <v>106</v>
      </c>
    </row>
    <row r="32" spans="1:7" ht="102" x14ac:dyDescent="0.45">
      <c r="A32" s="2" t="s">
        <v>7</v>
      </c>
      <c r="B32" s="2" t="s">
        <v>10</v>
      </c>
      <c r="C32" s="2"/>
      <c r="D32" s="23">
        <v>1</v>
      </c>
      <c r="E32" s="2" t="s">
        <v>47</v>
      </c>
      <c r="F32" s="2" t="s">
        <v>107</v>
      </c>
      <c r="G32" s="2" t="s">
        <v>127</v>
      </c>
    </row>
    <row r="33" spans="1:7" ht="136" x14ac:dyDescent="0.45">
      <c r="A33" s="2" t="s">
        <v>7</v>
      </c>
      <c r="B33" s="2" t="s">
        <v>10</v>
      </c>
      <c r="C33" s="2"/>
      <c r="D33" s="23">
        <v>1</v>
      </c>
      <c r="E33" s="2" t="s">
        <v>50</v>
      </c>
      <c r="F33" s="2" t="s">
        <v>108</v>
      </c>
      <c r="G33" s="2" t="s">
        <v>109</v>
      </c>
    </row>
    <row r="34" spans="1:7" ht="136" x14ac:dyDescent="0.45">
      <c r="A34" s="2" t="s">
        <v>7</v>
      </c>
      <c r="B34" s="2" t="s">
        <v>10</v>
      </c>
      <c r="C34" s="2"/>
      <c r="D34" s="23">
        <v>1</v>
      </c>
      <c r="E34" s="2" t="s">
        <v>53</v>
      </c>
      <c r="F34" s="2" t="s">
        <v>110</v>
      </c>
      <c r="G34" s="2" t="s">
        <v>111</v>
      </c>
    </row>
    <row r="35" spans="1:7" ht="68" x14ac:dyDescent="0.45">
      <c r="A35" s="2" t="s">
        <v>7</v>
      </c>
      <c r="B35" s="2" t="s">
        <v>11</v>
      </c>
      <c r="C35" s="2"/>
      <c r="D35" s="2">
        <v>1.2</v>
      </c>
      <c r="E35" s="2" t="s">
        <v>47</v>
      </c>
      <c r="F35" s="2" t="s">
        <v>112</v>
      </c>
      <c r="G35" s="2" t="s">
        <v>113</v>
      </c>
    </row>
    <row r="36" spans="1:7" ht="102" x14ac:dyDescent="0.45">
      <c r="A36" s="2" t="s">
        <v>7</v>
      </c>
      <c r="B36" s="2" t="s">
        <v>11</v>
      </c>
      <c r="C36" s="2"/>
      <c r="D36" s="2">
        <v>1.2</v>
      </c>
      <c r="E36" s="2" t="s">
        <v>50</v>
      </c>
      <c r="F36" s="2" t="s">
        <v>114</v>
      </c>
      <c r="G36" s="2" t="s">
        <v>115</v>
      </c>
    </row>
    <row r="37" spans="1:7" ht="119" x14ac:dyDescent="0.45">
      <c r="A37" s="2" t="s">
        <v>7</v>
      </c>
      <c r="B37" s="2" t="s">
        <v>11</v>
      </c>
      <c r="C37" s="2"/>
      <c r="D37" s="2">
        <v>1.2</v>
      </c>
      <c r="E37" s="2" t="s">
        <v>53</v>
      </c>
      <c r="F37" s="2" t="s">
        <v>116</v>
      </c>
      <c r="G37" s="2" t="s">
        <v>117</v>
      </c>
    </row>
    <row r="38" spans="1:7" ht="102" x14ac:dyDescent="0.45">
      <c r="A38" s="2" t="s">
        <v>7</v>
      </c>
      <c r="B38" s="2" t="s">
        <v>12</v>
      </c>
      <c r="C38" s="2"/>
      <c r="D38" s="48">
        <v>40</v>
      </c>
      <c r="E38" s="2" t="s">
        <v>47</v>
      </c>
      <c r="F38" s="2" t="s">
        <v>118</v>
      </c>
      <c r="G38" s="2" t="s">
        <v>132</v>
      </c>
    </row>
    <row r="39" spans="1:7" ht="136" x14ac:dyDescent="0.45">
      <c r="A39" s="2" t="s">
        <v>7</v>
      </c>
      <c r="B39" s="2" t="s">
        <v>12</v>
      </c>
      <c r="C39" s="2"/>
      <c r="D39" s="48">
        <v>40</v>
      </c>
      <c r="E39" s="2" t="s">
        <v>50</v>
      </c>
      <c r="F39" s="2" t="s">
        <v>119</v>
      </c>
      <c r="G39" s="2" t="s">
        <v>133</v>
      </c>
    </row>
    <row r="40" spans="1:7" ht="153" x14ac:dyDescent="0.45">
      <c r="A40" s="2" t="s">
        <v>7</v>
      </c>
      <c r="B40" s="2" t="s">
        <v>12</v>
      </c>
      <c r="C40" s="2"/>
      <c r="D40" s="48">
        <v>40</v>
      </c>
      <c r="E40" s="2" t="s">
        <v>53</v>
      </c>
      <c r="F40" s="2" t="s">
        <v>120</v>
      </c>
      <c r="G40" s="2" t="s">
        <v>134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simulator</vt:lpstr>
      <vt:lpstr>기준값 및 근거</vt:lpstr>
      <vt:lpstr>보강안 및 근거</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이태영</dc:creator>
  <cp:lastModifiedBy>이태영</cp:lastModifiedBy>
  <dcterms:created xsi:type="dcterms:W3CDTF">2025-11-24T07:14:06Z</dcterms:created>
  <dcterms:modified xsi:type="dcterms:W3CDTF">2025-12-05T02:46:29Z</dcterms:modified>
</cp:coreProperties>
</file>